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7100" windowHeight="765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B32" i="1" a="1"/>
  <c r="B32" s="1"/>
  <c r="C32"/>
  <c r="B43" a="1"/>
  <c r="B43" s="1"/>
  <c r="C43"/>
  <c r="B42" a="1"/>
  <c r="B42"/>
  <c r="C42"/>
  <c r="D42"/>
  <c r="B41" a="1"/>
  <c r="B41" s="1"/>
  <c r="C41"/>
  <c r="B39" a="1"/>
  <c r="B39" s="1"/>
  <c r="C39"/>
  <c r="B38" a="1"/>
  <c r="B38" s="1"/>
  <c r="B36" a="1"/>
  <c r="B36" s="1"/>
  <c r="C36"/>
  <c r="B35" a="1"/>
  <c r="B35" s="1"/>
  <c r="L25"/>
  <c r="K25"/>
  <c r="L24"/>
  <c r="K24"/>
  <c r="G24"/>
  <c r="F24"/>
  <c r="G23"/>
  <c r="F23"/>
  <c r="F42" l="1" a="1"/>
  <c r="H42" s="1"/>
  <c r="F28" a="1"/>
  <c r="F30" a="1"/>
  <c r="H30" s="1"/>
  <c r="F33" a="1"/>
  <c r="G33" s="1"/>
  <c r="F35" a="1"/>
  <c r="G35" s="1"/>
  <c r="F37" a="1"/>
  <c r="G37" s="1"/>
  <c r="F39" a="1"/>
  <c r="G39" s="1"/>
  <c r="F41" a="1"/>
  <c r="G41" s="1"/>
  <c r="F43" a="1"/>
  <c r="G43" s="1"/>
  <c r="F29" a="1"/>
  <c r="G29" s="1"/>
  <c r="F31" a="1"/>
  <c r="G31" s="1"/>
  <c r="F34" a="1"/>
  <c r="H34" s="1"/>
  <c r="F36" a="1"/>
  <c r="H36" s="1"/>
  <c r="F38" a="1"/>
  <c r="H38" s="1"/>
  <c r="F40" a="1"/>
  <c r="G40" s="1"/>
  <c r="D32"/>
  <c r="F32" s="1" a="1"/>
  <c r="D43"/>
  <c r="D41"/>
  <c r="D39"/>
  <c r="C38"/>
  <c r="D38"/>
  <c r="D36"/>
  <c r="C35"/>
  <c r="D35"/>
  <c r="G30" l="1"/>
  <c r="G34"/>
  <c r="G36"/>
  <c r="F43"/>
  <c r="F31"/>
  <c r="H35"/>
  <c r="G42"/>
  <c r="H39"/>
  <c r="H40"/>
  <c r="H33"/>
  <c r="F29"/>
  <c r="G38"/>
  <c r="F41"/>
  <c r="H37"/>
  <c r="H41"/>
  <c r="F38"/>
  <c r="F37"/>
  <c r="F34"/>
  <c r="J34" s="1" a="1"/>
  <c r="L34" s="1"/>
  <c r="F33"/>
  <c r="H29"/>
  <c r="H43"/>
  <c r="F42"/>
  <c r="J41" a="1"/>
  <c r="K41" s="1"/>
  <c r="F40"/>
  <c r="F39"/>
  <c r="F36"/>
  <c r="F35"/>
  <c r="H31"/>
  <c r="F30"/>
  <c r="J30" s="1" a="1"/>
  <c r="L30" s="1"/>
  <c r="F28"/>
  <c r="H28"/>
  <c r="G28"/>
  <c r="H32"/>
  <c r="G32"/>
  <c r="F32"/>
  <c r="J38" l="1" a="1"/>
  <c r="J38" s="1"/>
  <c r="J43" a="1"/>
  <c r="K43" s="1"/>
  <c r="J36" a="1"/>
  <c r="K36" s="1"/>
  <c r="J35" a="1"/>
  <c r="K35" s="1"/>
  <c r="J31" a="1"/>
  <c r="K31" s="1"/>
  <c r="J42" a="1"/>
  <c r="L42" s="1"/>
  <c r="J34"/>
  <c r="J29" a="1"/>
  <c r="L29" s="1"/>
  <c r="J40" a="1"/>
  <c r="J40" s="1"/>
  <c r="K34"/>
  <c r="J39" a="1"/>
  <c r="K39" s="1"/>
  <c r="J33" a="1"/>
  <c r="L33" s="1"/>
  <c r="L41"/>
  <c r="J37" a="1"/>
  <c r="J37" s="1"/>
  <c r="J30"/>
  <c r="J41"/>
  <c r="K30"/>
  <c r="J28" a="1"/>
  <c r="J32" a="1"/>
  <c r="L38" l="1"/>
  <c r="J43"/>
  <c r="K38"/>
  <c r="L36"/>
  <c r="J36"/>
  <c r="L43"/>
  <c r="J35"/>
  <c r="L35"/>
  <c r="L40"/>
  <c r="J42"/>
  <c r="K42"/>
  <c r="J31"/>
  <c r="L31"/>
  <c r="J29"/>
  <c r="J33"/>
  <c r="K29"/>
  <c r="K40"/>
  <c r="K33"/>
  <c r="L39"/>
  <c r="K37"/>
  <c r="L37"/>
  <c r="J39"/>
  <c r="L28"/>
  <c r="K28"/>
  <c r="J28"/>
  <c r="J32"/>
  <c r="K32"/>
  <c r="L32"/>
</calcChain>
</file>

<file path=xl/sharedStrings.xml><?xml version="1.0" encoding="utf-8"?>
<sst xmlns="http://schemas.openxmlformats.org/spreadsheetml/2006/main" count="21" uniqueCount="15">
  <si>
    <t>theta1</t>
    <phoneticPr fontId="1"/>
  </si>
  <si>
    <t>vertex1</t>
    <phoneticPr fontId="1"/>
  </si>
  <si>
    <t>vertical rotation</t>
    <phoneticPr fontId="1"/>
  </si>
  <si>
    <t>horizontal rotation</t>
    <phoneticPr fontId="1"/>
  </si>
  <si>
    <t>theta2</t>
    <phoneticPr fontId="1"/>
  </si>
  <si>
    <t>vertex2</t>
  </si>
  <si>
    <t>vertex3</t>
  </si>
  <si>
    <t>vertex4</t>
  </si>
  <si>
    <t>vertex5</t>
  </si>
  <si>
    <t>vertex6</t>
  </si>
  <si>
    <t>vertex7</t>
  </si>
  <si>
    <t>vertex8</t>
  </si>
  <si>
    <t>x</t>
    <phoneticPr fontId="1"/>
  </si>
  <si>
    <t>y</t>
    <phoneticPr fontId="1"/>
  </si>
  <si>
    <t>z</t>
    <phoneticPr fontId="1"/>
  </si>
</sst>
</file>

<file path=xl/styles.xml><?xml version="1.0" encoding="utf-8"?>
<styleSheet xmlns="http://schemas.openxmlformats.org/spreadsheetml/2006/main">
  <fonts count="2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ja-JP"/>
  <c:chart>
    <c:plotArea>
      <c:layout>
        <c:manualLayout>
          <c:layoutTarget val="inner"/>
          <c:xMode val="edge"/>
          <c:yMode val="edge"/>
          <c:x val="2.7958223972003499E-2"/>
          <c:y val="2.8252405949256341E-2"/>
          <c:w val="0.75091688538932633"/>
          <c:h val="0.89719889180519097"/>
        </c:manualLayout>
      </c:layout>
      <c:scatterChart>
        <c:scatterStyle val="lineMarker"/>
        <c:ser>
          <c:idx val="0"/>
          <c:order val="0"/>
          <c:xVal>
            <c:numRef>
              <c:f>Sheet1!$J$28:$J$43</c:f>
              <c:numCache>
                <c:formatCode>General</c:formatCode>
                <c:ptCount val="16"/>
                <c:pt idx="0">
                  <c:v>-1.4004505331993411</c:v>
                </c:pt>
                <c:pt idx="1">
                  <c:v>-0.19682048689524456</c:v>
                </c:pt>
                <c:pt idx="2">
                  <c:v>1.4004505331993411</c:v>
                </c:pt>
                <c:pt idx="3">
                  <c:v>0.19682048689524456</c:v>
                </c:pt>
                <c:pt idx="4">
                  <c:v>-1.4004505331993411</c:v>
                </c:pt>
                <c:pt idx="5">
                  <c:v>-1.4004505331993411</c:v>
                </c:pt>
                <c:pt idx="6">
                  <c:v>-0.19682048689524456</c:v>
                </c:pt>
                <c:pt idx="7">
                  <c:v>-0.19682048689524456</c:v>
                </c:pt>
                <c:pt idx="8">
                  <c:v>-0.19682048689524456</c:v>
                </c:pt>
                <c:pt idx="9">
                  <c:v>1.4004505331993411</c:v>
                </c:pt>
                <c:pt idx="10">
                  <c:v>1.4004505331993411</c:v>
                </c:pt>
                <c:pt idx="11">
                  <c:v>1.4004505331993411</c:v>
                </c:pt>
                <c:pt idx="12">
                  <c:v>0.19682048689524456</c:v>
                </c:pt>
                <c:pt idx="13">
                  <c:v>0.19682048689524456</c:v>
                </c:pt>
                <c:pt idx="14">
                  <c:v>0.19682048689524456</c:v>
                </c:pt>
                <c:pt idx="15">
                  <c:v>-1.4004505331993411</c:v>
                </c:pt>
              </c:numCache>
            </c:numRef>
          </c:xVal>
          <c:yVal>
            <c:numRef>
              <c:f>Sheet1!$K$28:$K$43</c:f>
              <c:numCache>
                <c:formatCode>General</c:formatCode>
                <c:ptCount val="16"/>
                <c:pt idx="0">
                  <c:v>0.56793368022648205</c:v>
                </c:pt>
                <c:pt idx="1">
                  <c:v>1.6973748499281178</c:v>
                </c:pt>
                <c:pt idx="2">
                  <c:v>0.84627988214661287</c:v>
                </c:pt>
                <c:pt idx="3">
                  <c:v>-0.2831612875550229</c:v>
                </c:pt>
                <c:pt idx="4">
                  <c:v>0.56793368022648205</c:v>
                </c:pt>
                <c:pt idx="5">
                  <c:v>-0.84627988214661287</c:v>
                </c:pt>
                <c:pt idx="6">
                  <c:v>0.2831612875550229</c:v>
                </c:pt>
                <c:pt idx="7">
                  <c:v>1.6973748499281178</c:v>
                </c:pt>
                <c:pt idx="8">
                  <c:v>0.2831612875550229</c:v>
                </c:pt>
                <c:pt idx="9">
                  <c:v>-0.56793368022648205</c:v>
                </c:pt>
                <c:pt idx="10">
                  <c:v>0.84627988214661287</c:v>
                </c:pt>
                <c:pt idx="11">
                  <c:v>-0.56793368022648205</c:v>
                </c:pt>
                <c:pt idx="12">
                  <c:v>-1.6973748499281178</c:v>
                </c:pt>
                <c:pt idx="13">
                  <c:v>-0.2831612875550229</c:v>
                </c:pt>
                <c:pt idx="14">
                  <c:v>-1.6973748499281178</c:v>
                </c:pt>
                <c:pt idx="15">
                  <c:v>-0.84627988214661287</c:v>
                </c:pt>
              </c:numCache>
            </c:numRef>
          </c:yVal>
        </c:ser>
        <c:axId val="90867584"/>
        <c:axId val="90865664"/>
      </c:scatterChart>
      <c:valAx>
        <c:axId val="90867584"/>
        <c:scaling>
          <c:orientation val="minMax"/>
          <c:max val="2"/>
          <c:min val="-2"/>
        </c:scaling>
        <c:axPos val="b"/>
        <c:numFmt formatCode="General" sourceLinked="1"/>
        <c:tickLblPos val="nextTo"/>
        <c:crossAx val="90865664"/>
        <c:crosses val="autoZero"/>
        <c:crossBetween val="midCat"/>
      </c:valAx>
      <c:valAx>
        <c:axId val="90865664"/>
        <c:scaling>
          <c:orientation val="minMax"/>
          <c:max val="2"/>
          <c:min val="-2"/>
        </c:scaling>
        <c:axPos val="l"/>
        <c:majorGridlines/>
        <c:numFmt formatCode="General" sourceLinked="1"/>
        <c:tickLblPos val="nextTo"/>
        <c:crossAx val="90867584"/>
        <c:crosses val="autoZero"/>
        <c:crossBetween val="midCat"/>
      </c:valAx>
    </c:plotArea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523876</xdr:colOff>
      <xdr:row>2</xdr:row>
      <xdr:rowOff>142875</xdr:rowOff>
    </xdr:from>
    <xdr:to>
      <xdr:col>8</xdr:col>
      <xdr:colOff>371475</xdr:colOff>
      <xdr:row>18</xdr:row>
      <xdr:rowOff>142875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0:L43"/>
  <sheetViews>
    <sheetView tabSelected="1" workbookViewId="0">
      <selection activeCell="K11" sqref="K11"/>
    </sheetView>
  </sheetViews>
  <sheetFormatPr defaultRowHeight="13.5"/>
  <cols>
    <col min="6" max="6" width="9.125" bestFit="1" customWidth="1"/>
    <col min="7" max="7" width="13.875" bestFit="1" customWidth="1"/>
    <col min="8" max="8" width="9.125" bestFit="1" customWidth="1"/>
    <col min="10" max="10" width="9.125" bestFit="1" customWidth="1"/>
    <col min="11" max="11" width="13.875" bestFit="1" customWidth="1"/>
    <col min="12" max="12" width="9.125" bestFit="1" customWidth="1"/>
  </cols>
  <sheetData>
    <row r="20" spans="1:12">
      <c r="F20" t="s">
        <v>2</v>
      </c>
      <c r="J20" t="s">
        <v>3</v>
      </c>
    </row>
    <row r="21" spans="1:12">
      <c r="F21" t="s">
        <v>0</v>
      </c>
      <c r="G21">
        <v>37</v>
      </c>
      <c r="J21" t="s">
        <v>4</v>
      </c>
      <c r="K21">
        <v>45</v>
      </c>
    </row>
    <row r="23" spans="1:12">
      <c r="F23">
        <f>COS(RADIANS(G21))</f>
        <v>0.79863551004729283</v>
      </c>
      <c r="G23">
        <f>SIN(RADIANS(G21))</f>
        <v>0.60181502315204827</v>
      </c>
      <c r="H23">
        <v>0</v>
      </c>
      <c r="J23">
        <v>1</v>
      </c>
      <c r="K23">
        <v>0</v>
      </c>
      <c r="L23">
        <v>0</v>
      </c>
    </row>
    <row r="24" spans="1:12">
      <c r="F24">
        <f>-SIN(RADIANS(G21))</f>
        <v>-0.60181502315204827</v>
      </c>
      <c r="G24">
        <f>COS(RADIANS(G21))</f>
        <v>0.79863551004729283</v>
      </c>
      <c r="H24">
        <v>0</v>
      </c>
      <c r="J24">
        <v>0</v>
      </c>
      <c r="K24">
        <f>COS(RADIANS(K21))</f>
        <v>0.70710678118654757</v>
      </c>
      <c r="L24">
        <f>SIN(RADIANS(K21))</f>
        <v>0.70710678118654746</v>
      </c>
    </row>
    <row r="25" spans="1:12">
      <c r="F25">
        <v>0</v>
      </c>
      <c r="G25">
        <v>0</v>
      </c>
      <c r="H25">
        <v>1</v>
      </c>
      <c r="J25">
        <v>0</v>
      </c>
      <c r="K25">
        <f>-SIN(RADIANS(K21))</f>
        <v>-0.70710678118654746</v>
      </c>
      <c r="L25">
        <f>COS(RADIANS(K21))</f>
        <v>0.70710678118654757</v>
      </c>
    </row>
    <row r="27" spans="1:12">
      <c r="B27" t="s">
        <v>12</v>
      </c>
      <c r="C27" t="s">
        <v>13</v>
      </c>
      <c r="D27" t="s">
        <v>14</v>
      </c>
      <c r="F27" t="s">
        <v>12</v>
      </c>
      <c r="G27" t="s">
        <v>13</v>
      </c>
      <c r="H27" t="s">
        <v>14</v>
      </c>
      <c r="J27" t="s">
        <v>12</v>
      </c>
      <c r="K27" t="s">
        <v>13</v>
      </c>
      <c r="L27" t="s">
        <v>14</v>
      </c>
    </row>
    <row r="28" spans="1:12">
      <c r="A28" t="s">
        <v>1</v>
      </c>
      <c r="B28">
        <v>-1</v>
      </c>
      <c r="C28">
        <v>-1</v>
      </c>
      <c r="D28">
        <v>1</v>
      </c>
      <c r="F28">
        <f t="array" ref="F28:H28">TRANSPOSE(MMULT($F$23:$H$25,TRANSPOSE(B28:D28)))</f>
        <v>-1.4004505331993411</v>
      </c>
      <c r="G28">
        <v>-0.19682048689524456</v>
      </c>
      <c r="H28">
        <v>1</v>
      </c>
      <c r="J28">
        <f t="array" ref="J28:L28">TRANSPOSE(MMULT($J$23:$L$25,TRANSPOSE(F28:H28)))</f>
        <v>-1.4004505331993411</v>
      </c>
      <c r="K28">
        <v>0.56793368022648205</v>
      </c>
      <c r="L28">
        <v>0.84627988214661298</v>
      </c>
    </row>
    <row r="29" spans="1:12">
      <c r="A29" t="s">
        <v>5</v>
      </c>
      <c r="B29">
        <v>-1</v>
      </c>
      <c r="C29">
        <v>1</v>
      </c>
      <c r="D29">
        <v>1</v>
      </c>
      <c r="F29">
        <f t="array" ref="F29:H29">TRANSPOSE(MMULT($F$23:$H$25,TRANSPOSE(B29:D29)))</f>
        <v>-0.19682048689524456</v>
      </c>
      <c r="G29">
        <v>1.4004505331993411</v>
      </c>
      <c r="H29">
        <v>1</v>
      </c>
      <c r="J29">
        <f t="array" ref="J29:L29">TRANSPOSE(MMULT($J$23:$L$25,TRANSPOSE(F29:H29)))</f>
        <v>-0.19682048689524456</v>
      </c>
      <c r="K29">
        <v>1.6973748499281178</v>
      </c>
      <c r="L29">
        <v>-0.28316128755502268</v>
      </c>
    </row>
    <row r="30" spans="1:12">
      <c r="A30" t="s">
        <v>6</v>
      </c>
      <c r="B30">
        <v>1</v>
      </c>
      <c r="C30">
        <v>1</v>
      </c>
      <c r="D30">
        <v>1</v>
      </c>
      <c r="F30">
        <f t="array" ref="F30:H30">TRANSPOSE(MMULT($F$23:$H$25,TRANSPOSE(B30:D30)))</f>
        <v>1.4004505331993411</v>
      </c>
      <c r="G30">
        <v>0.19682048689524456</v>
      </c>
      <c r="H30">
        <v>1</v>
      </c>
      <c r="J30">
        <f t="array" ref="J30:L30">TRANSPOSE(MMULT($J$23:$L$25,TRANSPOSE(F30:H30)))</f>
        <v>1.4004505331993411</v>
      </c>
      <c r="K30">
        <v>0.84627988214661287</v>
      </c>
      <c r="L30">
        <v>0.56793368022648216</v>
      </c>
    </row>
    <row r="31" spans="1:12">
      <c r="A31" t="s">
        <v>7</v>
      </c>
      <c r="B31">
        <v>1</v>
      </c>
      <c r="C31">
        <v>-1</v>
      </c>
      <c r="D31">
        <v>1</v>
      </c>
      <c r="F31">
        <f t="array" ref="F31:H31">TRANSPOSE(MMULT($F$23:$H$25,TRANSPOSE(B31:D31)))</f>
        <v>0.19682048689524456</v>
      </c>
      <c r="G31">
        <v>-1.4004505331993411</v>
      </c>
      <c r="H31">
        <v>1</v>
      </c>
      <c r="J31">
        <f t="array" ref="J31:L31">TRANSPOSE(MMULT($J$23:$L$25,TRANSPOSE(F31:H31)))</f>
        <v>0.19682048689524456</v>
      </c>
      <c r="K31">
        <v>-0.2831612875550229</v>
      </c>
      <c r="L31">
        <v>1.6973748499281178</v>
      </c>
    </row>
    <row r="32" spans="1:12">
      <c r="B32">
        <f t="array" ref="B32:D32">B28:D28</f>
        <v>-1</v>
      </c>
      <c r="C32">
        <v>-1</v>
      </c>
      <c r="D32">
        <v>1</v>
      </c>
      <c r="F32">
        <f t="array" ref="F32:H32">TRANSPOSE(MMULT($F$23:$H$25,TRANSPOSE(B32:D32)))</f>
        <v>-1.4004505331993411</v>
      </c>
      <c r="G32">
        <v>-0.19682048689524456</v>
      </c>
      <c r="H32">
        <v>1</v>
      </c>
      <c r="J32">
        <f t="array" ref="J32:L32">TRANSPOSE(MMULT($J$23:$L$25,TRANSPOSE(F32:H32)))</f>
        <v>-1.4004505331993411</v>
      </c>
      <c r="K32">
        <v>0.56793368022648205</v>
      </c>
      <c r="L32">
        <v>0.84627988214661298</v>
      </c>
    </row>
    <row r="33" spans="1:12">
      <c r="A33" t="s">
        <v>8</v>
      </c>
      <c r="B33">
        <v>-1</v>
      </c>
      <c r="C33">
        <v>-1</v>
      </c>
      <c r="D33">
        <v>-1</v>
      </c>
      <c r="F33">
        <f t="array" ref="F33:H33">TRANSPOSE(MMULT($F$23:$H$25,TRANSPOSE(B33:D33)))</f>
        <v>-1.4004505331993411</v>
      </c>
      <c r="G33">
        <v>-0.19682048689524456</v>
      </c>
      <c r="H33">
        <v>-1</v>
      </c>
      <c r="J33">
        <f t="array" ref="J33:L33">TRANSPOSE(MMULT($J$23:$L$25,TRANSPOSE(F33:H33)))</f>
        <v>-1.4004505331993411</v>
      </c>
      <c r="K33">
        <v>-0.84627988214661287</v>
      </c>
      <c r="L33">
        <v>-0.56793368022648216</v>
      </c>
    </row>
    <row r="34" spans="1:12">
      <c r="A34" t="s">
        <v>9</v>
      </c>
      <c r="B34">
        <v>-1</v>
      </c>
      <c r="C34">
        <v>1</v>
      </c>
      <c r="D34">
        <v>-1</v>
      </c>
      <c r="F34">
        <f t="array" ref="F34:H34">TRANSPOSE(MMULT($F$23:$H$25,TRANSPOSE(B34:D34)))</f>
        <v>-0.19682048689524456</v>
      </c>
      <c r="G34">
        <v>1.4004505331993411</v>
      </c>
      <c r="H34">
        <v>-1</v>
      </c>
      <c r="J34">
        <f t="array" ref="J34:L34">TRANSPOSE(MMULT($J$23:$L$25,TRANSPOSE(F34:H34)))</f>
        <v>-0.19682048689524456</v>
      </c>
      <c r="K34">
        <v>0.2831612875550229</v>
      </c>
      <c r="L34">
        <v>-1.6973748499281178</v>
      </c>
    </row>
    <row r="35" spans="1:12">
      <c r="B35">
        <f t="array" ref="B35:D35">B29:D29</f>
        <v>-1</v>
      </c>
      <c r="C35">
        <v>1</v>
      </c>
      <c r="D35">
        <v>1</v>
      </c>
      <c r="F35">
        <f t="array" ref="F35:H35">TRANSPOSE(MMULT($F$23:$H$25,TRANSPOSE(B35:D35)))</f>
        <v>-0.19682048689524456</v>
      </c>
      <c r="G35">
        <v>1.4004505331993411</v>
      </c>
      <c r="H35">
        <v>1</v>
      </c>
      <c r="J35">
        <f t="array" ref="J35:L35">TRANSPOSE(MMULT($J$23:$L$25,TRANSPOSE(F35:H35)))</f>
        <v>-0.19682048689524456</v>
      </c>
      <c r="K35">
        <v>1.6973748499281178</v>
      </c>
      <c r="L35">
        <v>-0.28316128755502268</v>
      </c>
    </row>
    <row r="36" spans="1:12">
      <c r="B36">
        <f t="array" ref="B36:D36">B34:D34</f>
        <v>-1</v>
      </c>
      <c r="C36">
        <v>1</v>
      </c>
      <c r="D36">
        <v>-1</v>
      </c>
      <c r="F36">
        <f t="array" ref="F36:H36">TRANSPOSE(MMULT($F$23:$H$25,TRANSPOSE(B36:D36)))</f>
        <v>-0.19682048689524456</v>
      </c>
      <c r="G36">
        <v>1.4004505331993411</v>
      </c>
      <c r="H36">
        <v>-1</v>
      </c>
      <c r="J36">
        <f t="array" ref="J36:L36">TRANSPOSE(MMULT($J$23:$L$25,TRANSPOSE(F36:H36)))</f>
        <v>-0.19682048689524456</v>
      </c>
      <c r="K36">
        <v>0.2831612875550229</v>
      </c>
      <c r="L36">
        <v>-1.6973748499281178</v>
      </c>
    </row>
    <row r="37" spans="1:12">
      <c r="A37" t="s">
        <v>10</v>
      </c>
      <c r="B37">
        <v>1</v>
      </c>
      <c r="C37">
        <v>1</v>
      </c>
      <c r="D37">
        <v>-1</v>
      </c>
      <c r="F37">
        <f t="array" ref="F37:H37">TRANSPOSE(MMULT($F$23:$H$25,TRANSPOSE(B37:D37)))</f>
        <v>1.4004505331993411</v>
      </c>
      <c r="G37">
        <v>0.19682048689524456</v>
      </c>
      <c r="H37">
        <v>-1</v>
      </c>
      <c r="J37">
        <f t="array" ref="J37:L37">TRANSPOSE(MMULT($J$23:$L$25,TRANSPOSE(F37:H37)))</f>
        <v>1.4004505331993411</v>
      </c>
      <c r="K37">
        <v>-0.56793368022648205</v>
      </c>
      <c r="L37">
        <v>-0.84627988214661298</v>
      </c>
    </row>
    <row r="38" spans="1:12">
      <c r="B38">
        <f t="array" ref="B38:D38">B30:D30</f>
        <v>1</v>
      </c>
      <c r="C38">
        <v>1</v>
      </c>
      <c r="D38">
        <v>1</v>
      </c>
      <c r="F38">
        <f t="array" ref="F38:H38">TRANSPOSE(MMULT($F$23:$H$25,TRANSPOSE(B38:D38)))</f>
        <v>1.4004505331993411</v>
      </c>
      <c r="G38">
        <v>0.19682048689524456</v>
      </c>
      <c r="H38">
        <v>1</v>
      </c>
      <c r="J38">
        <f t="array" ref="J38:L38">TRANSPOSE(MMULT($J$23:$L$25,TRANSPOSE(F38:H38)))</f>
        <v>1.4004505331993411</v>
      </c>
      <c r="K38">
        <v>0.84627988214661287</v>
      </c>
      <c r="L38">
        <v>0.56793368022648216</v>
      </c>
    </row>
    <row r="39" spans="1:12">
      <c r="B39">
        <f t="array" ref="B39:D39">B37:D37</f>
        <v>1</v>
      </c>
      <c r="C39">
        <v>1</v>
      </c>
      <c r="D39">
        <v>-1</v>
      </c>
      <c r="F39">
        <f t="array" ref="F39:H39">TRANSPOSE(MMULT($F$23:$H$25,TRANSPOSE(B39:D39)))</f>
        <v>1.4004505331993411</v>
      </c>
      <c r="G39">
        <v>0.19682048689524456</v>
      </c>
      <c r="H39">
        <v>-1</v>
      </c>
      <c r="J39">
        <f t="array" ref="J39:L39">TRANSPOSE(MMULT($J$23:$L$25,TRANSPOSE(F39:H39)))</f>
        <v>1.4004505331993411</v>
      </c>
      <c r="K39">
        <v>-0.56793368022648205</v>
      </c>
      <c r="L39">
        <v>-0.84627988214661298</v>
      </c>
    </row>
    <row r="40" spans="1:12">
      <c r="A40" t="s">
        <v>11</v>
      </c>
      <c r="B40">
        <v>1</v>
      </c>
      <c r="C40">
        <v>-1</v>
      </c>
      <c r="D40">
        <v>-1</v>
      </c>
      <c r="F40">
        <f t="array" ref="F40:H40">TRANSPOSE(MMULT($F$23:$H$25,TRANSPOSE(B40:D40)))</f>
        <v>0.19682048689524456</v>
      </c>
      <c r="G40">
        <v>-1.4004505331993411</v>
      </c>
      <c r="H40">
        <v>-1</v>
      </c>
      <c r="J40">
        <f t="array" ref="J40:L40">TRANSPOSE(MMULT($J$23:$L$25,TRANSPOSE(F40:H40)))</f>
        <v>0.19682048689524456</v>
      </c>
      <c r="K40">
        <v>-1.6973748499281178</v>
      </c>
      <c r="L40">
        <v>0.28316128755502268</v>
      </c>
    </row>
    <row r="41" spans="1:12">
      <c r="B41">
        <f t="array" ref="B41:D41">B31:D31</f>
        <v>1</v>
      </c>
      <c r="C41">
        <v>-1</v>
      </c>
      <c r="D41">
        <v>1</v>
      </c>
      <c r="F41">
        <f t="array" ref="F41:H41">TRANSPOSE(MMULT($F$23:$H$25,TRANSPOSE(B41:D41)))</f>
        <v>0.19682048689524456</v>
      </c>
      <c r="G41">
        <v>-1.4004505331993411</v>
      </c>
      <c r="H41">
        <v>1</v>
      </c>
      <c r="J41">
        <f t="array" ref="J41:L41">TRANSPOSE(MMULT($J$23:$L$25,TRANSPOSE(F41:H41)))</f>
        <v>0.19682048689524456</v>
      </c>
      <c r="K41">
        <v>-0.2831612875550229</v>
      </c>
      <c r="L41">
        <v>1.6973748499281178</v>
      </c>
    </row>
    <row r="42" spans="1:12">
      <c r="B42">
        <f t="array" ref="B42:D42">B40:D40</f>
        <v>1</v>
      </c>
      <c r="C42">
        <v>-1</v>
      </c>
      <c r="D42">
        <v>-1</v>
      </c>
      <c r="F42">
        <f t="array" ref="F42:H42">TRANSPOSE(MMULT($F$23:$H$25,TRANSPOSE(B42:D42)))</f>
        <v>0.19682048689524456</v>
      </c>
      <c r="G42">
        <v>-1.4004505331993411</v>
      </c>
      <c r="H42">
        <v>-1</v>
      </c>
      <c r="J42">
        <f t="array" ref="J42:L42">TRANSPOSE(MMULT($J$23:$L$25,TRANSPOSE(F42:H42)))</f>
        <v>0.19682048689524456</v>
      </c>
      <c r="K42">
        <v>-1.6973748499281178</v>
      </c>
      <c r="L42">
        <v>0.28316128755502268</v>
      </c>
    </row>
    <row r="43" spans="1:12">
      <c r="B43">
        <f t="array" ref="B43:D43">B33:D33</f>
        <v>-1</v>
      </c>
      <c r="C43">
        <v>-1</v>
      </c>
      <c r="D43">
        <v>-1</v>
      </c>
      <c r="F43">
        <f t="array" ref="F43:H43">TRANSPOSE(MMULT($F$23:$H$25,TRANSPOSE(B43:D43)))</f>
        <v>-1.4004505331993411</v>
      </c>
      <c r="G43">
        <v>-0.19682048689524456</v>
      </c>
      <c r="H43">
        <v>-1</v>
      </c>
      <c r="J43">
        <f t="array" ref="J43:L43">TRANSPOSE(MMULT($J$23:$L$25,TRANSPOSE(F43:H43)))</f>
        <v>-1.4004505331993411</v>
      </c>
      <c r="K43">
        <v>-0.84627988214661287</v>
      </c>
      <c r="L43">
        <v>-0.56793368022648216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control shapeId="1029" r:id="rId4" name="CommandButton1"/>
    <control shapeId="1028" r:id="rId5" name="ScrollBar2"/>
    <control shapeId="1026" r:id="rId6" name="ScrollB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Yo1</dc:creator>
  <cp:lastModifiedBy>Yo1</cp:lastModifiedBy>
  <dcterms:created xsi:type="dcterms:W3CDTF">2015-04-21T05:38:56Z</dcterms:created>
  <dcterms:modified xsi:type="dcterms:W3CDTF">2015-04-21T06:47:15Z</dcterms:modified>
</cp:coreProperties>
</file>